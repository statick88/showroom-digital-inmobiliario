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 Proyecto" sheetId="1" state="visible" r:id="rId1"/>
    <sheet xmlns:r="http://schemas.openxmlformats.org/officeDocument/2006/relationships" name="Base de Datos L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.&quot;#,##0.00"/>
    <numFmt numFmtId="165" formatCode="#,##0.00&quot; m²&quot;"/>
  </numFmts>
  <fonts count="6">
    <font>
      <name val="Calibri"/>
      <family val="2"/>
      <color theme="1"/>
      <sz val="11"/>
      <scheme val="minor"/>
    </font>
    <font>
      <name val="Segoe UI"/>
      <b val="1"/>
      <color rgb="002A363B"/>
      <sz val="16"/>
    </font>
    <font>
      <name val="Segoe UI"/>
      <b val="1"/>
      <color rgb="002A363B"/>
      <sz val="12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7">
    <fill>
      <patternFill/>
    </fill>
    <fill>
      <patternFill patternType="gray125"/>
    </fill>
    <fill>
      <patternFill patternType="solid">
        <fgColor rgb="002A363B"/>
        <bgColor rgb="002A363B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7F9FA"/>
        <bgColor rgb="00F7F9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2A363B"/>
      </top>
      <bottom style="double">
        <color rgb="002A363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0" fontId="4" fillId="0" borderId="0" pivotButton="0" quotePrefix="0" xfId="0"/>
    <xf numFmtId="165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2" pivotButton="0" quotePrefix="0" xfId="0"/>
    <xf numFmtId="165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3" customWidth="1" min="3" max="3"/>
    <col width="29" customWidth="1" min="4" max="4"/>
  </cols>
  <sheetData>
    <row r="1"/>
    <row r="2">
      <c r="B2" s="1" t="inlineStr">
        <is>
          <t>Estrategia Comercial de Lotes &amp; Hitos</t>
        </is>
      </c>
    </row>
    <row r="3"/>
    <row r="4">
      <c r="B4" s="2" t="inlineStr">
        <is>
          <t>Parámetros de Valorización por m²</t>
        </is>
      </c>
    </row>
    <row r="5">
      <c r="B5" s="3" t="inlineStr">
        <is>
          <t>Manzana</t>
        </is>
      </c>
      <c r="C5" s="3" t="inlineStr">
        <is>
          <t>Ubicación / Tipo</t>
        </is>
      </c>
      <c r="D5" s="3" t="inlineStr">
        <is>
          <t>Valor por m² (S/.)</t>
        </is>
      </c>
    </row>
    <row r="6">
      <c r="B6" s="4" t="inlineStr">
        <is>
          <t>Mz. A</t>
        </is>
      </c>
      <c r="C6" s="4" t="inlineStr">
        <is>
          <t>Frente a Carretera (Premium)</t>
        </is>
      </c>
      <c r="D6" s="5" t="n">
        <v>230.68</v>
      </c>
    </row>
    <row r="7">
      <c r="B7" s="4" t="inlineStr">
        <is>
          <t>Mz. B</t>
        </is>
      </c>
      <c r="C7" s="4" t="inlineStr">
        <is>
          <t>Segunda Línea (Media-Alta)</t>
        </is>
      </c>
      <c r="D7" s="5" t="n">
        <v>215</v>
      </c>
    </row>
    <row r="8">
      <c r="B8" s="4" t="inlineStr">
        <is>
          <t>Mz. C</t>
        </is>
      </c>
      <c r="C8" s="4" t="inlineStr">
        <is>
          <t>Zona Interior (Estándar)</t>
        </is>
      </c>
      <c r="D8" s="5" t="n">
        <v>200</v>
      </c>
    </row>
    <row r="9">
      <c r="B9" s="4" t="inlineStr">
        <is>
          <t>Mz. D</t>
        </is>
      </c>
      <c r="C9" s="4" t="inlineStr">
        <is>
          <t>Zona Interior Lateral</t>
        </is>
      </c>
      <c r="D9" s="5" t="n">
        <v>200</v>
      </c>
    </row>
    <row r="10"/>
    <row r="11"/>
    <row r="12">
      <c r="B12" s="2" t="inlineStr">
        <is>
          <t>Resumen de Inventario (Demo)</t>
        </is>
      </c>
    </row>
    <row r="13">
      <c r="B13" s="3" t="inlineStr">
        <is>
          <t>Estado</t>
        </is>
      </c>
      <c r="C13" s="3" t="inlineStr">
        <is>
          <t>Cantidad de Lotes</t>
        </is>
      </c>
      <c r="D13" s="3" t="inlineStr">
        <is>
          <t>Ingreso Proyectado (S/.)</t>
        </is>
      </c>
    </row>
    <row r="14">
      <c r="B14" s="6" t="inlineStr">
        <is>
          <t>Disponible</t>
        </is>
      </c>
      <c r="C14" s="4">
        <f>COUNTIF('Base de Datos Lotes'!E$6:E$35, "Disponible")</f>
        <v/>
      </c>
      <c r="D14" s="5">
        <f>SUMIF('Base de Datos Lotes'!E$6:E$35, "Disponible", 'Base de Datos Lotes'!D$6:D$35)</f>
        <v/>
      </c>
    </row>
    <row r="15">
      <c r="B15" s="7" t="inlineStr">
        <is>
          <t>Reservado</t>
        </is>
      </c>
      <c r="C15" s="4">
        <f>COUNTIF('Base de Datos Lotes'!E$6:E$35, "Reservado")</f>
        <v/>
      </c>
      <c r="D15" s="5">
        <f>SUMIF('Base de Datos Lotes'!E$6:E$35, "Reservado", 'Base de Datos Lotes'!D$6:D$35)</f>
        <v/>
      </c>
    </row>
    <row r="16">
      <c r="B16" s="8" t="inlineStr">
        <is>
          <t>Vendido</t>
        </is>
      </c>
      <c r="C16" s="4">
        <f>COUNTIF('Base de Datos Lotes'!E$6:E$35, "Vendido")</f>
        <v/>
      </c>
      <c r="D16" s="5">
        <f>SUMIF('Base de Datos Lotes'!E$6:E$35, "Vendido", 'Base de Datos Lotes'!D$6:D$35)</f>
        <v/>
      </c>
    </row>
    <row r="17">
      <c r="B17" s="9" t="inlineStr">
        <is>
          <t>TOTAL GENERAL</t>
        </is>
      </c>
      <c r="C17" s="10">
        <f>SUM(C14:C16)</f>
        <v/>
      </c>
      <c r="D17" s="11">
        <f>SUM(D14:D16)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  <col width="12" customWidth="1" min="3" max="3"/>
    <col width="19" customWidth="1" min="4" max="4"/>
    <col width="27" customWidth="1" min="5" max="5"/>
    <col width="20" customWidth="1" min="6" max="6"/>
    <col width="27" customWidth="1" min="7" max="7"/>
  </cols>
  <sheetData>
    <row r="1"/>
    <row r="2">
      <c r="B2" s="1" t="inlineStr">
        <is>
          <t>Listado Maestro de Lotes e Integración 360°</t>
        </is>
      </c>
    </row>
    <row r="3"/>
    <row r="4">
      <c r="B4" s="12" t="inlineStr">
        <is>
          <t>Esta tabla simula la base de datos que Diego conectará al backend de la plataforma interactiva.</t>
        </is>
      </c>
    </row>
    <row r="5">
      <c r="B5" s="3" t="inlineStr">
        <is>
          <t>Manzana</t>
        </is>
      </c>
      <c r="C5" s="3" t="inlineStr">
        <is>
          <t>Lote</t>
        </is>
      </c>
      <c r="D5" s="3" t="inlineStr">
        <is>
          <t>Área (m²)</t>
        </is>
      </c>
      <c r="E5" s="3" t="inlineStr">
        <is>
          <t>Precio Calculado (S/.)</t>
        </is>
      </c>
      <c r="F5" s="3" t="inlineStr">
        <is>
          <t>Estado de Venta</t>
        </is>
      </c>
      <c r="G5" s="3" t="inlineStr">
        <is>
          <t>ID Nodo 360 D5 Render</t>
        </is>
      </c>
    </row>
    <row r="6">
      <c r="B6" s="4" t="inlineStr">
        <is>
          <t>Mz. A</t>
        </is>
      </c>
      <c r="C6" s="4" t="inlineStr">
        <is>
          <t>Lote 1</t>
        </is>
      </c>
      <c r="D6" s="13" t="n">
        <v>173.4</v>
      </c>
      <c r="E6" s="5" t="n">
        <v>40000</v>
      </c>
      <c r="F6" s="14" t="inlineStr">
        <is>
          <t>Vendido</t>
        </is>
      </c>
      <c r="G6" s="15" t="inlineStr">
        <is>
          <t>nodo_aéreo_mediano_01</t>
        </is>
      </c>
    </row>
    <row r="7">
      <c r="B7" s="16" t="inlineStr">
        <is>
          <t>Mz. A</t>
        </is>
      </c>
      <c r="C7" s="16" t="inlineStr">
        <is>
          <t>Lote 2</t>
        </is>
      </c>
      <c r="D7" s="17" t="n">
        <v>173.4</v>
      </c>
      <c r="E7" s="18" t="n">
        <v>40000</v>
      </c>
      <c r="F7" s="19" t="inlineStr">
        <is>
          <t>Disponible</t>
        </is>
      </c>
      <c r="G7" s="20" t="inlineStr">
        <is>
          <t>nodo_peatonal_lote2</t>
        </is>
      </c>
    </row>
    <row r="8">
      <c r="B8" s="4" t="inlineStr">
        <is>
          <t>Mz. A</t>
        </is>
      </c>
      <c r="C8" s="4" t="inlineStr">
        <is>
          <t>Lote 3</t>
        </is>
      </c>
      <c r="D8" s="13" t="n">
        <v>173.4</v>
      </c>
      <c r="E8" s="5" t="n">
        <v>40000</v>
      </c>
      <c r="F8" s="19" t="inlineStr">
        <is>
          <t>Disponible</t>
        </is>
      </c>
      <c r="G8" s="15" t="inlineStr">
        <is>
          <t>nodo_peatonal_lote3</t>
        </is>
      </c>
    </row>
    <row r="9">
      <c r="B9" s="16" t="inlineStr">
        <is>
          <t>Mz. A</t>
        </is>
      </c>
      <c r="C9" s="16" t="inlineStr">
        <is>
          <t>Lote 4</t>
        </is>
      </c>
      <c r="D9" s="17" t="n">
        <v>173.4</v>
      </c>
      <c r="E9" s="18" t="n">
        <v>40000</v>
      </c>
      <c r="F9" s="19" t="inlineStr">
        <is>
          <t>Disponible</t>
        </is>
      </c>
      <c r="G9" s="20" t="inlineStr">
        <is>
          <t>nodo_peatonal_lote4</t>
        </is>
      </c>
    </row>
    <row r="10">
      <c r="B10" s="4" t="inlineStr">
        <is>
          <t>Mz. A</t>
        </is>
      </c>
      <c r="C10" s="4" t="inlineStr">
        <is>
          <t>Lote 5</t>
        </is>
      </c>
      <c r="D10" s="13" t="n">
        <v>173.4</v>
      </c>
      <c r="E10" s="5" t="n">
        <v>40000</v>
      </c>
      <c r="F10" s="21" t="inlineStr">
        <is>
          <t>Reservado</t>
        </is>
      </c>
      <c r="G10" s="15" t="inlineStr">
        <is>
          <t>nodo_peatonal_lote5</t>
        </is>
      </c>
    </row>
    <row r="11">
      <c r="B11" s="16" t="inlineStr">
        <is>
          <t>Mz. A</t>
        </is>
      </c>
      <c r="C11" s="16" t="inlineStr">
        <is>
          <t>Lote 6</t>
        </is>
      </c>
      <c r="D11" s="17" t="n">
        <v>173.4</v>
      </c>
      <c r="E11" s="18" t="n">
        <v>40000</v>
      </c>
      <c r="F11" s="19" t="inlineStr">
        <is>
          <t>Disponible</t>
        </is>
      </c>
      <c r="G11" s="20" t="inlineStr">
        <is>
          <t>nodo_peatonal_lote6</t>
        </is>
      </c>
    </row>
    <row r="12">
      <c r="B12" s="4" t="inlineStr">
        <is>
          <t>Mz. A</t>
        </is>
      </c>
      <c r="C12" s="4" t="inlineStr">
        <is>
          <t>Lote 7</t>
        </is>
      </c>
      <c r="D12" s="13" t="n">
        <v>173.4</v>
      </c>
      <c r="E12" s="5" t="n">
        <v>40000</v>
      </c>
      <c r="F12" s="14" t="inlineStr">
        <is>
          <t>Vendido</t>
        </is>
      </c>
      <c r="G12" s="15" t="inlineStr">
        <is>
          <t>nodo_peatonal_tu_lote7</t>
        </is>
      </c>
    </row>
    <row r="13">
      <c r="B13" s="16" t="inlineStr">
        <is>
          <t>Mz. A</t>
        </is>
      </c>
      <c r="C13" s="16" t="inlineStr">
        <is>
          <t>Lote 8</t>
        </is>
      </c>
      <c r="D13" s="17" t="n">
        <v>173.4</v>
      </c>
      <c r="E13" s="18" t="n">
        <v>40000</v>
      </c>
      <c r="F13" s="14" t="inlineStr">
        <is>
          <t>Vendido</t>
        </is>
      </c>
      <c r="G13" s="20" t="inlineStr">
        <is>
          <t>nodo_peatonal_tu_lote8</t>
        </is>
      </c>
    </row>
    <row r="14">
      <c r="B14" s="4" t="inlineStr">
        <is>
          <t>Mz. B</t>
        </is>
      </c>
      <c r="C14" s="4" t="inlineStr">
        <is>
          <t>Lote 1</t>
        </is>
      </c>
      <c r="D14" s="13" t="n">
        <v>204.4</v>
      </c>
      <c r="E14" s="5">
        <f>D14 * VLOOKUP(B14, 'Resumen de Proyecto'!B$6:D$9, 3, FALSE)</f>
        <v/>
      </c>
      <c r="F14" s="19" t="inlineStr">
        <is>
          <t>Disponible</t>
        </is>
      </c>
      <c r="G14" s="15" t="inlineStr">
        <is>
          <t>nodo_peatonal_b1</t>
        </is>
      </c>
    </row>
    <row r="15">
      <c r="B15" s="16" t="inlineStr">
        <is>
          <t>Mz. B</t>
        </is>
      </c>
      <c r="C15" s="16" t="inlineStr">
        <is>
          <t>Lote 2</t>
        </is>
      </c>
      <c r="D15" s="17" t="n">
        <v>202.6</v>
      </c>
      <c r="E15" s="18">
        <f>D15 * VLOOKUP(B15, 'Resumen de Proyecto'!B$6:D$9, 3, FALSE)</f>
        <v/>
      </c>
      <c r="F15" s="19" t="inlineStr">
        <is>
          <t>Disponible</t>
        </is>
      </c>
      <c r="G15" s="20" t="inlineStr">
        <is>
          <t>nodo_peatonal_b2</t>
        </is>
      </c>
    </row>
    <row r="16">
      <c r="B16" s="4" t="inlineStr">
        <is>
          <t>Mz. B</t>
        </is>
      </c>
      <c r="C16" s="4" t="inlineStr">
        <is>
          <t>Lote 3</t>
        </is>
      </c>
      <c r="D16" s="13" t="n">
        <v>200.8</v>
      </c>
      <c r="E16" s="5">
        <f>D16 * VLOOKUP(B16, 'Resumen de Proyecto'!B$6:D$9, 3, FALSE)</f>
        <v/>
      </c>
      <c r="F16" s="21" t="inlineStr">
        <is>
          <t>Reservado</t>
        </is>
      </c>
      <c r="G16" s="15" t="inlineStr">
        <is>
          <t>nodo_peatonal_b3</t>
        </is>
      </c>
    </row>
    <row r="17">
      <c r="B17" s="16" t="inlineStr">
        <is>
          <t>Mz. B</t>
        </is>
      </c>
      <c r="C17" s="16" t="inlineStr">
        <is>
          <t>Lote 4</t>
        </is>
      </c>
      <c r="D17" s="17" t="n">
        <v>199</v>
      </c>
      <c r="E17" s="18">
        <f>D17 * VLOOKUP(B17, 'Resumen de Proyecto'!B$6:D$9, 3, FALSE)</f>
        <v/>
      </c>
      <c r="F17" s="19" t="inlineStr">
        <is>
          <t>Disponible</t>
        </is>
      </c>
      <c r="G17" s="20" t="inlineStr">
        <is>
          <t>nodo_peatonal_b4</t>
        </is>
      </c>
    </row>
    <row r="18">
      <c r="B18" s="4" t="inlineStr">
        <is>
          <t>Mz. B</t>
        </is>
      </c>
      <c r="C18" s="4" t="inlineStr">
        <is>
          <t>Lote 5</t>
        </is>
      </c>
      <c r="D18" s="13" t="n">
        <v>197.2</v>
      </c>
      <c r="E18" s="5">
        <f>D18 * VLOOKUP(B18, 'Resumen de Proyecto'!B$6:D$9, 3, FALSE)</f>
        <v/>
      </c>
      <c r="F18" s="19" t="inlineStr">
        <is>
          <t>Disponible</t>
        </is>
      </c>
      <c r="G18" s="15" t="inlineStr">
        <is>
          <t>nodo_peatonal_b5</t>
        </is>
      </c>
    </row>
    <row r="19">
      <c r="B19" s="16" t="inlineStr">
        <is>
          <t>Mz. B</t>
        </is>
      </c>
      <c r="C19" s="16" t="inlineStr">
        <is>
          <t>Lote 6</t>
        </is>
      </c>
      <c r="D19" s="17" t="n">
        <v>195.5</v>
      </c>
      <c r="E19" s="18">
        <f>D19 * VLOOKUP(B19, 'Resumen de Proyecto'!B$6:D$9, 3, FALSE)</f>
        <v/>
      </c>
      <c r="F19" s="14" t="inlineStr">
        <is>
          <t>Vendido</t>
        </is>
      </c>
      <c r="G19" s="20" t="inlineStr">
        <is>
          <t>nodo_peatonal_b6</t>
        </is>
      </c>
    </row>
    <row r="20">
      <c r="B20" s="4" t="inlineStr">
        <is>
          <t>Mz. B</t>
        </is>
      </c>
      <c r="C20" s="4" t="inlineStr">
        <is>
          <t>Lote 7</t>
        </is>
      </c>
      <c r="D20" s="13" t="n">
        <v>193.7</v>
      </c>
      <c r="E20" s="5">
        <f>D20 * VLOOKUP(B20, 'Resumen de Proyecto'!B$6:D$9, 3, FALSE)</f>
        <v/>
      </c>
      <c r="F20" s="19" t="inlineStr">
        <is>
          <t>Disponible</t>
        </is>
      </c>
      <c r="G20" s="15" t="inlineStr">
        <is>
          <t>nodo_peatonal_b7</t>
        </is>
      </c>
    </row>
    <row r="21">
      <c r="B21" s="16" t="inlineStr">
        <is>
          <t>Mz. B</t>
        </is>
      </c>
      <c r="C21" s="16" t="inlineStr">
        <is>
          <t>Lote 8</t>
        </is>
      </c>
      <c r="D21" s="17" t="n">
        <v>191.9</v>
      </c>
      <c r="E21" s="18">
        <f>D21 * VLOOKUP(B21, 'Resumen de Proyecto'!B$6:D$9, 3, FALSE)</f>
        <v/>
      </c>
      <c r="F21" s="19" t="inlineStr">
        <is>
          <t>Disponible</t>
        </is>
      </c>
      <c r="G21" s="20" t="inlineStr">
        <is>
          <t>nodo_peatonal_b8</t>
        </is>
      </c>
    </row>
    <row r="22">
      <c r="B22" s="4" t="inlineStr">
        <is>
          <t>Mz. C</t>
        </is>
      </c>
      <c r="C22" s="4" t="inlineStr">
        <is>
          <t>Lote 1</t>
        </is>
      </c>
      <c r="D22" s="13" t="n">
        <v>182.9</v>
      </c>
      <c r="E22" s="5">
        <f>D22 * VLOOKUP(B22, 'Resumen de Proyecto'!B$6:D$9, 3, FALSE)</f>
        <v/>
      </c>
      <c r="F22" s="19" t="inlineStr">
        <is>
          <t>Disponible</t>
        </is>
      </c>
      <c r="G22" s="15" t="inlineStr">
        <is>
          <t>nodo_peatonal_c1</t>
        </is>
      </c>
    </row>
    <row r="23">
      <c r="B23" s="16" t="inlineStr">
        <is>
          <t>Mz. C</t>
        </is>
      </c>
      <c r="C23" s="16" t="inlineStr">
        <is>
          <t>Lote 2</t>
        </is>
      </c>
      <c r="D23" s="17" t="n">
        <v>182.9</v>
      </c>
      <c r="E23" s="18">
        <f>D23 * VLOOKUP(B23, 'Resumen de Proyecto'!B$6:D$9, 3, FALSE)</f>
        <v/>
      </c>
      <c r="F23" s="19" t="inlineStr">
        <is>
          <t>Disponible</t>
        </is>
      </c>
      <c r="G23" s="20" t="inlineStr">
        <is>
          <t>nodo_peatonal_c2</t>
        </is>
      </c>
    </row>
    <row r="24">
      <c r="B24" s="4" t="inlineStr">
        <is>
          <t>Mz. C</t>
        </is>
      </c>
      <c r="C24" s="4" t="inlineStr">
        <is>
          <t>Lote 3</t>
        </is>
      </c>
      <c r="D24" s="13" t="n">
        <v>182.9</v>
      </c>
      <c r="E24" s="5">
        <f>D24 * VLOOKUP(B24, 'Resumen de Proyecto'!B$6:D$9, 3, FALSE)</f>
        <v/>
      </c>
      <c r="F24" s="19" t="inlineStr">
        <is>
          <t>Disponible</t>
        </is>
      </c>
      <c r="G24" s="15" t="inlineStr">
        <is>
          <t>nodo_peatonal_c3</t>
        </is>
      </c>
    </row>
    <row r="25">
      <c r="B25" s="16" t="inlineStr">
        <is>
          <t>Mz. C</t>
        </is>
      </c>
      <c r="C25" s="16" t="inlineStr">
        <is>
          <t>Lote 4</t>
        </is>
      </c>
      <c r="D25" s="17" t="n">
        <v>183</v>
      </c>
      <c r="E25" s="18">
        <f>D25 * VLOOKUP(B25, 'Resumen de Proyecto'!B$6:D$9, 3, FALSE)</f>
        <v/>
      </c>
      <c r="F25" s="21" t="inlineStr">
        <is>
          <t>Reservado</t>
        </is>
      </c>
      <c r="G25" s="20" t="inlineStr">
        <is>
          <t>nodo_peatonal_c4</t>
        </is>
      </c>
    </row>
    <row r="26">
      <c r="B26" s="4" t="inlineStr">
        <is>
          <t>Mz. C</t>
        </is>
      </c>
      <c r="C26" s="4" t="inlineStr">
        <is>
          <t>Lote 5</t>
        </is>
      </c>
      <c r="D26" s="13" t="n">
        <v>182.9</v>
      </c>
      <c r="E26" s="5">
        <f>D26 * VLOOKUP(B26, 'Resumen de Proyecto'!B$6:D$9, 3, FALSE)</f>
        <v/>
      </c>
      <c r="F26" s="19" t="inlineStr">
        <is>
          <t>Disponible</t>
        </is>
      </c>
      <c r="G26" s="15" t="inlineStr">
        <is>
          <t>nodo_peatonal_c5</t>
        </is>
      </c>
    </row>
    <row r="27">
      <c r="B27" s="16" t="inlineStr">
        <is>
          <t>Mz. C</t>
        </is>
      </c>
      <c r="C27" s="16" t="inlineStr">
        <is>
          <t>Lote 6</t>
        </is>
      </c>
      <c r="D27" s="17" t="n">
        <v>182.7</v>
      </c>
      <c r="E27" s="18">
        <f>D27 * VLOOKUP(B27, 'Resumen de Proyecto'!B$6:D$9, 3, FALSE)</f>
        <v/>
      </c>
      <c r="F27" s="19" t="inlineStr">
        <is>
          <t>Disponible</t>
        </is>
      </c>
      <c r="G27" s="20" t="inlineStr">
        <is>
          <t>nodo_peatonal_c6</t>
        </is>
      </c>
    </row>
    <row r="28">
      <c r="B28" s="4" t="inlineStr">
        <is>
          <t>Mz. C</t>
        </is>
      </c>
      <c r="C28" s="4" t="inlineStr">
        <is>
          <t>Lote 7</t>
        </is>
      </c>
      <c r="D28" s="13" t="n">
        <v>182.9</v>
      </c>
      <c r="E28" s="5">
        <f>D28 * VLOOKUP(B28, 'Resumen de Proyecto'!B$6:D$9, 3, FALSE)</f>
        <v/>
      </c>
      <c r="F28" s="14" t="inlineStr">
        <is>
          <t>Vendido</t>
        </is>
      </c>
      <c r="G28" s="15" t="inlineStr">
        <is>
          <t>nodo_peatonal_c7</t>
        </is>
      </c>
    </row>
    <row r="29">
      <c r="B29" s="16" t="inlineStr">
        <is>
          <t>Mz. D</t>
        </is>
      </c>
      <c r="C29" s="16" t="inlineStr">
        <is>
          <t>Lote 1</t>
        </is>
      </c>
      <c r="D29" s="17" t="n">
        <v>199.1</v>
      </c>
      <c r="E29" s="18">
        <f>D29 * VLOOKUP(B29, 'Resumen de Proyecto'!B$6:D$9, 3, FALSE)</f>
        <v/>
      </c>
      <c r="F29" s="14" t="inlineStr">
        <is>
          <t>Vendido</t>
        </is>
      </c>
      <c r="G29" s="20" t="inlineStr">
        <is>
          <t>nodo_peatonal_d1</t>
        </is>
      </c>
    </row>
    <row r="30">
      <c r="B30" s="4" t="inlineStr">
        <is>
          <t>Mz. D</t>
        </is>
      </c>
      <c r="C30" s="4" t="inlineStr">
        <is>
          <t>Lote 2</t>
        </is>
      </c>
      <c r="D30" s="13" t="n">
        <v>197.1</v>
      </c>
      <c r="E30" s="5">
        <f>D30 * VLOOKUP(B30, 'Resumen de Proyecto'!B$6:D$9, 3, FALSE)</f>
        <v/>
      </c>
      <c r="F30" s="19" t="inlineStr">
        <is>
          <t>Disponible</t>
        </is>
      </c>
      <c r="G30" s="15" t="inlineStr">
        <is>
          <t>nodo_peatonal_d2</t>
        </is>
      </c>
    </row>
    <row r="31">
      <c r="B31" s="16" t="inlineStr">
        <is>
          <t>Mz. D</t>
        </is>
      </c>
      <c r="C31" s="16" t="inlineStr">
        <is>
          <t>Lote 3</t>
        </is>
      </c>
      <c r="D31" s="17" t="n">
        <v>195</v>
      </c>
      <c r="E31" s="18">
        <f>D31 * VLOOKUP(B31, 'Resumen de Proyecto'!B$6:D$9, 3, FALSE)</f>
        <v/>
      </c>
      <c r="F31" s="19" t="inlineStr">
        <is>
          <t>Disponible</t>
        </is>
      </c>
      <c r="G31" s="20" t="inlineStr">
        <is>
          <t>nodo_peatonal_d3</t>
        </is>
      </c>
    </row>
    <row r="32">
      <c r="B32" s="4" t="inlineStr">
        <is>
          <t>Mz. D</t>
        </is>
      </c>
      <c r="C32" s="4" t="inlineStr">
        <is>
          <t>Lote 4</t>
        </is>
      </c>
      <c r="D32" s="13" t="n">
        <v>193.2</v>
      </c>
      <c r="E32" s="5">
        <f>D32 * VLOOKUP(B32, 'Resumen de Proyecto'!B$6:D$9, 3, FALSE)</f>
        <v/>
      </c>
      <c r="F32" s="19" t="inlineStr">
        <is>
          <t>Disponible</t>
        </is>
      </c>
      <c r="G32" s="15" t="inlineStr">
        <is>
          <t>nodo_peatonal_d4</t>
        </is>
      </c>
    </row>
    <row r="33">
      <c r="B33" s="16" t="inlineStr">
        <is>
          <t>Mz. D</t>
        </is>
      </c>
      <c r="C33" s="16" t="inlineStr">
        <is>
          <t>Lote 5</t>
        </is>
      </c>
      <c r="D33" s="17" t="n">
        <v>191.1</v>
      </c>
      <c r="E33" s="18">
        <f>D33 * VLOOKUP(B33, 'Resumen de Proyecto'!B$6:D$9, 3, FALSE)</f>
        <v/>
      </c>
      <c r="F33" s="21" t="inlineStr">
        <is>
          <t>Reservado</t>
        </is>
      </c>
      <c r="G33" s="20" t="inlineStr">
        <is>
          <t>nodo_peatonal_d5</t>
        </is>
      </c>
    </row>
    <row r="34">
      <c r="B34" s="4" t="inlineStr">
        <is>
          <t>Mz. D</t>
        </is>
      </c>
      <c r="C34" s="4" t="inlineStr">
        <is>
          <t>Lote 6</t>
        </is>
      </c>
      <c r="D34" s="13" t="n">
        <v>189.2</v>
      </c>
      <c r="E34" s="5">
        <f>D34 * VLOOKUP(B34, 'Resumen de Proyecto'!B$6:D$9, 3, FALSE)</f>
        <v/>
      </c>
      <c r="F34" s="19" t="inlineStr">
        <is>
          <t>Disponible</t>
        </is>
      </c>
      <c r="G34" s="15" t="inlineStr">
        <is>
          <t>nodo_peatonal_d6</t>
        </is>
      </c>
    </row>
    <row r="35">
      <c r="B35" s="16" t="inlineStr">
        <is>
          <t>Mz. D</t>
        </is>
      </c>
      <c r="C35" s="16" t="inlineStr">
        <is>
          <t>Lote 7</t>
        </is>
      </c>
      <c r="D35" s="17" t="n">
        <v>187.2</v>
      </c>
      <c r="E35" s="18">
        <f>D35 * VLOOKUP(B35, 'Resumen de Proyecto'!B$6:D$9, 3, FALSE)</f>
        <v/>
      </c>
      <c r="F35" s="19" t="inlineStr">
        <is>
          <t>Disponible</t>
        </is>
      </c>
      <c r="G35" s="20" t="inlineStr">
        <is>
          <t>nodo_peatonal_d7</t>
        </is>
      </c>
    </row>
    <row r="36">
      <c r="B36" s="10" t="inlineStr">
        <is>
          <t>TOTALES</t>
        </is>
      </c>
      <c r="C36" s="22" t="inlineStr"/>
      <c r="D36" s="23">
        <f>SUM(D6:D35)</f>
        <v/>
      </c>
      <c r="E36" s="11">
        <f>SUM(E6:E35)</f>
        <v/>
      </c>
      <c r="F36" s="22" t="inlineStr"/>
      <c r="G36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2026-06-11T00:34:13Z</dcterms:created>
  <dcterms:modified xmlns:dcterms="http://purl.org/dc/terms/" xmlns:xsi="http://www.w3.org/2001/XMLSchema-instance" xsi:type="dcterms:W3CDTF">2026-06-11T00:34:13Z</dcterms:modified>
</cp:coreProperties>
</file>